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4A03120-E348-4B5B-8EAD-B399C0B059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م 1+م ق" sheetId="1" r:id="rId1"/>
    <sheet name="م 2" sheetId="2" r:id="rId2"/>
  </sheets>
  <calcPr calcId="191029"/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P8" i="1"/>
  <c r="O8" i="1"/>
  <c r="N8" i="1"/>
  <c r="M8" i="1"/>
  <c r="F8" i="1"/>
  <c r="H8" i="1"/>
  <c r="I8" i="1"/>
  <c r="J8" i="1"/>
  <c r="G8" i="1"/>
  <c r="L8" i="1"/>
  <c r="E22" i="1"/>
  <c r="D22" i="1"/>
  <c r="C22" i="1"/>
  <c r="B22" i="1"/>
  <c r="J21" i="1"/>
  <c r="O21" i="1" s="1"/>
  <c r="I21" i="1"/>
  <c r="N21" i="1" s="1"/>
  <c r="H21" i="1"/>
  <c r="M21" i="1" s="1"/>
  <c r="G21" i="1"/>
  <c r="L21" i="1" s="1"/>
  <c r="P21" i="1" s="1"/>
  <c r="F21" i="1"/>
  <c r="J20" i="1"/>
  <c r="O20" i="1" s="1"/>
  <c r="I20" i="1"/>
  <c r="N20" i="1" s="1"/>
  <c r="H20" i="1"/>
  <c r="M20" i="1" s="1"/>
  <c r="G20" i="1"/>
  <c r="L20" i="1" s="1"/>
  <c r="F20" i="1"/>
  <c r="J19" i="1"/>
  <c r="O19" i="1" s="1"/>
  <c r="I19" i="1"/>
  <c r="N19" i="1" s="1"/>
  <c r="H19" i="1"/>
  <c r="M19" i="1" s="1"/>
  <c r="G19" i="1"/>
  <c r="L19" i="1" s="1"/>
  <c r="F19" i="1"/>
  <c r="J18" i="1"/>
  <c r="O18" i="1" s="1"/>
  <c r="I18" i="1"/>
  <c r="N18" i="1" s="1"/>
  <c r="H18" i="1"/>
  <c r="M18" i="1" s="1"/>
  <c r="G18" i="1"/>
  <c r="L18" i="1" s="1"/>
  <c r="F18" i="1"/>
  <c r="J17" i="1"/>
  <c r="O17" i="1" s="1"/>
  <c r="I17" i="1"/>
  <c r="N17" i="1" s="1"/>
  <c r="H17" i="1"/>
  <c r="M17" i="1" s="1"/>
  <c r="G17" i="1"/>
  <c r="L17" i="1" s="1"/>
  <c r="F17" i="1"/>
  <c r="E12" i="1"/>
  <c r="D12" i="1"/>
  <c r="C12" i="1"/>
  <c r="B12" i="1"/>
  <c r="J11" i="1"/>
  <c r="O11" i="1" s="1"/>
  <c r="I11" i="1"/>
  <c r="N11" i="1" s="1"/>
  <c r="H11" i="1"/>
  <c r="M11" i="1" s="1"/>
  <c r="G11" i="1"/>
  <c r="L11" i="1" s="1"/>
  <c r="P11" i="1" s="1"/>
  <c r="F11" i="1"/>
  <c r="J10" i="1"/>
  <c r="I10" i="1"/>
  <c r="N10" i="1" s="1"/>
  <c r="H10" i="1"/>
  <c r="M10" i="1" s="1"/>
  <c r="G10" i="1"/>
  <c r="L10" i="1" s="1"/>
  <c r="F10" i="1"/>
  <c r="J9" i="1"/>
  <c r="O9" i="1" s="1"/>
  <c r="I9" i="1"/>
  <c r="N9" i="1" s="1"/>
  <c r="H9" i="1"/>
  <c r="M9" i="1" s="1"/>
  <c r="G9" i="1"/>
  <c r="L9" i="1" s="1"/>
  <c r="F9" i="1"/>
  <c r="J7" i="1"/>
  <c r="I7" i="1"/>
  <c r="N7" i="1" s="1"/>
  <c r="H7" i="1"/>
  <c r="M7" i="1" s="1"/>
  <c r="G7" i="1"/>
  <c r="L7" i="1" s="1"/>
  <c r="F7" i="1"/>
  <c r="J6" i="1"/>
  <c r="I6" i="1"/>
  <c r="N6" i="1" s="1"/>
  <c r="H6" i="1"/>
  <c r="M6" i="1" s="1"/>
  <c r="G6" i="1"/>
  <c r="L6" i="1" s="1"/>
  <c r="F6" i="1"/>
  <c r="J5" i="1"/>
  <c r="I5" i="1"/>
  <c r="N5" i="1" s="1"/>
  <c r="H5" i="1"/>
  <c r="M5" i="1" s="1"/>
  <c r="G5" i="1"/>
  <c r="L5" i="1" s="1"/>
  <c r="F5" i="1"/>
  <c r="J4" i="1"/>
  <c r="I4" i="1"/>
  <c r="N4" i="1" s="1"/>
  <c r="H4" i="1"/>
  <c r="M4" i="1" s="1"/>
  <c r="G4" i="1"/>
  <c r="L4" i="1" s="1"/>
  <c r="F4" i="1"/>
  <c r="P15" i="2"/>
  <c r="C16" i="2"/>
  <c r="D16" i="2"/>
  <c r="E16" i="2"/>
  <c r="B16" i="2"/>
  <c r="J15" i="2"/>
  <c r="O15" i="2" s="1"/>
  <c r="I15" i="2"/>
  <c r="N15" i="2" s="1"/>
  <c r="H15" i="2"/>
  <c r="M15" i="2" s="1"/>
  <c r="G15" i="2"/>
  <c r="L15" i="2" s="1"/>
  <c r="F15" i="2"/>
  <c r="J14" i="2"/>
  <c r="O14" i="2" s="1"/>
  <c r="I14" i="2"/>
  <c r="N14" i="2" s="1"/>
  <c r="H14" i="2"/>
  <c r="M14" i="2" s="1"/>
  <c r="G14" i="2"/>
  <c r="L14" i="2" s="1"/>
  <c r="F14" i="2"/>
  <c r="J13" i="2"/>
  <c r="O13" i="2" s="1"/>
  <c r="I13" i="2"/>
  <c r="N13" i="2" s="1"/>
  <c r="H13" i="2"/>
  <c r="M13" i="2" s="1"/>
  <c r="G13" i="2"/>
  <c r="L13" i="2" s="1"/>
  <c r="F13" i="2"/>
  <c r="J12" i="2"/>
  <c r="O12" i="2" s="1"/>
  <c r="I12" i="2"/>
  <c r="N12" i="2" s="1"/>
  <c r="H12" i="2"/>
  <c r="M12" i="2" s="1"/>
  <c r="G12" i="2"/>
  <c r="L12" i="2" s="1"/>
  <c r="F12" i="2"/>
  <c r="J11" i="2"/>
  <c r="O11" i="2" s="1"/>
  <c r="I11" i="2"/>
  <c r="N11" i="2" s="1"/>
  <c r="H11" i="2"/>
  <c r="M11" i="2" s="1"/>
  <c r="G11" i="2"/>
  <c r="L11" i="2" s="1"/>
  <c r="F11" i="2"/>
  <c r="J10" i="2"/>
  <c r="O10" i="2" s="1"/>
  <c r="I10" i="2"/>
  <c r="N10" i="2" s="1"/>
  <c r="H10" i="2"/>
  <c r="M10" i="2" s="1"/>
  <c r="G10" i="2"/>
  <c r="F10" i="2"/>
  <c r="J9" i="2"/>
  <c r="O9" i="2" s="1"/>
  <c r="I9" i="2"/>
  <c r="N9" i="2" s="1"/>
  <c r="H9" i="2"/>
  <c r="M9" i="2" s="1"/>
  <c r="G9" i="2"/>
  <c r="L9" i="2" s="1"/>
  <c r="F9" i="2"/>
  <c r="J8" i="2"/>
  <c r="O8" i="2" s="1"/>
  <c r="I8" i="2"/>
  <c r="N8" i="2" s="1"/>
  <c r="H8" i="2"/>
  <c r="M8" i="2" s="1"/>
  <c r="G8" i="2"/>
  <c r="L8" i="2" s="1"/>
  <c r="F8" i="2"/>
  <c r="J7" i="2"/>
  <c r="I7" i="2"/>
  <c r="N7" i="2" s="1"/>
  <c r="H7" i="2"/>
  <c r="M7" i="2" s="1"/>
  <c r="G7" i="2"/>
  <c r="L7" i="2" s="1"/>
  <c r="F7" i="2"/>
  <c r="J6" i="2"/>
  <c r="O6" i="2" s="1"/>
  <c r="I6" i="2"/>
  <c r="H6" i="2"/>
  <c r="M6" i="2" s="1"/>
  <c r="G6" i="2"/>
  <c r="L6" i="2" s="1"/>
  <c r="F6" i="2"/>
  <c r="J5" i="2"/>
  <c r="O5" i="2" s="1"/>
  <c r="I5" i="2"/>
  <c r="N5" i="2" s="1"/>
  <c r="H5" i="2"/>
  <c r="G5" i="2"/>
  <c r="L5" i="2" s="1"/>
  <c r="F5" i="2"/>
  <c r="J4" i="2"/>
  <c r="O4" i="2" s="1"/>
  <c r="I4" i="2"/>
  <c r="N4" i="2" s="1"/>
  <c r="H4" i="2"/>
  <c r="M4" i="2" s="1"/>
  <c r="G4" i="2"/>
  <c r="F4" i="2"/>
  <c r="P19" i="1" l="1"/>
  <c r="K8" i="1"/>
  <c r="K5" i="1"/>
  <c r="O5" i="1"/>
  <c r="P5" i="1" s="1"/>
  <c r="P18" i="1"/>
  <c r="K18" i="1"/>
  <c r="F22" i="1"/>
  <c r="K17" i="1"/>
  <c r="K7" i="1"/>
  <c r="K6" i="1"/>
  <c r="O7" i="1"/>
  <c r="P7" i="1" s="1"/>
  <c r="K10" i="1"/>
  <c r="O10" i="1"/>
  <c r="P10" i="1" s="1"/>
  <c r="P9" i="1"/>
  <c r="O6" i="1"/>
  <c r="P6" i="1" s="1"/>
  <c r="K9" i="1"/>
  <c r="F12" i="1"/>
  <c r="L22" i="1"/>
  <c r="P17" i="1"/>
  <c r="M22" i="1"/>
  <c r="N22" i="1"/>
  <c r="O22" i="1"/>
  <c r="P20" i="1"/>
  <c r="K4" i="1"/>
  <c r="H22" i="1"/>
  <c r="G12" i="1"/>
  <c r="K20" i="1"/>
  <c r="I22" i="1"/>
  <c r="K11" i="1"/>
  <c r="J22" i="1"/>
  <c r="G22" i="1"/>
  <c r="O4" i="1"/>
  <c r="P4" i="1" s="1"/>
  <c r="K21" i="1"/>
  <c r="K19" i="1"/>
  <c r="K4" i="2"/>
  <c r="P4" i="2" s="1"/>
  <c r="J16" i="2"/>
  <c r="I16" i="2"/>
  <c r="F16" i="2"/>
  <c r="H16" i="2"/>
  <c r="G16" i="2"/>
  <c r="K10" i="2"/>
  <c r="P10" i="2" s="1"/>
  <c r="K6" i="2"/>
  <c r="P6" i="2" s="1"/>
  <c r="K9" i="2"/>
  <c r="P9" i="2" s="1"/>
  <c r="K8" i="2"/>
  <c r="P8" i="2" s="1"/>
  <c r="K5" i="2"/>
  <c r="P5" i="2" s="1"/>
  <c r="K7" i="2"/>
  <c r="P7" i="2" s="1"/>
  <c r="L10" i="2"/>
  <c r="M5" i="2"/>
  <c r="M16" i="2" s="1"/>
  <c r="O7" i="2"/>
  <c r="O16" i="2" s="1"/>
  <c r="K15" i="2"/>
  <c r="L4" i="2"/>
  <c r="N6" i="2"/>
  <c r="N16" i="2" s="1"/>
  <c r="K14" i="2"/>
  <c r="P14" i="2" s="1"/>
  <c r="K13" i="2"/>
  <c r="P13" i="2" s="1"/>
  <c r="K12" i="2"/>
  <c r="P12" i="2" s="1"/>
  <c r="K11" i="2"/>
  <c r="P11" i="2" s="1"/>
  <c r="K22" i="1" l="1"/>
  <c r="P22" i="1"/>
  <c r="L16" i="2"/>
  <c r="P16" i="2"/>
  <c r="K16" i="2"/>
</calcChain>
</file>

<file path=xl/sharedStrings.xml><?xml version="1.0" encoding="utf-8"?>
<sst xmlns="http://schemas.openxmlformats.org/spreadsheetml/2006/main" count="82" uniqueCount="54">
  <si>
    <t>اسم الوكيل</t>
  </si>
  <si>
    <t>IQ.T</t>
  </si>
  <si>
    <t>IQ.P</t>
  </si>
  <si>
    <t>IQ.G</t>
  </si>
  <si>
    <t>IQ.S</t>
  </si>
  <si>
    <t>IQ.B</t>
  </si>
  <si>
    <t>P</t>
  </si>
  <si>
    <t>G</t>
  </si>
  <si>
    <t>S</t>
  </si>
  <si>
    <t>B</t>
  </si>
  <si>
    <t>المجموع</t>
  </si>
  <si>
    <t>وكلاء المرحلة الثانية</t>
  </si>
  <si>
    <t xml:space="preserve">عدد التفعيلات </t>
  </si>
  <si>
    <t>IQ.B%16</t>
  </si>
  <si>
    <t>IQ.S%16</t>
  </si>
  <si>
    <t>IQ.G%16</t>
  </si>
  <si>
    <t>IQ.P%16</t>
  </si>
  <si>
    <t>منتظر ماجد /nakib@iqcell_15</t>
  </si>
  <si>
    <t xml:space="preserve"> محمد ابراهيم م2 / Moh2@IQCELL_16</t>
  </si>
  <si>
    <t>زيد صلاح / zaid@iqcell_17</t>
  </si>
  <si>
    <t>محمد عباس/mtdx@iqcell_18</t>
  </si>
  <si>
    <t xml:space="preserve"> حيدر هاني م2 / HIDER@IQCELL_19</t>
  </si>
  <si>
    <t>Hider2@IQCELL_19 / حيدر هاني 2</t>
  </si>
  <si>
    <t>وليد علاوي/walead@iqcell_22</t>
  </si>
  <si>
    <t>حسين النصراوي/hussein@uqcell_23</t>
  </si>
  <si>
    <t>admin@IQCELL_28 / حسين النصراوي 2</t>
  </si>
  <si>
    <t>حسن حميد/huss@iqcell_25</t>
  </si>
  <si>
    <t>admin@IQCELL_29 / حسنين صاحب 2</t>
  </si>
  <si>
    <t>ضرغام باسم /admin@iqcell_26</t>
  </si>
  <si>
    <t xml:space="preserve"> 16%نسبة الوكيل </t>
  </si>
  <si>
    <t>وكلاء المرحلة الأولى</t>
  </si>
  <si>
    <t>غيث علاء زكي ADMIN@fd14</t>
  </si>
  <si>
    <t>محمد إبراهيم جواد admin@mohamed</t>
  </si>
  <si>
    <t>فؤاد عايد حمزة admin@foud</t>
  </si>
  <si>
    <t>محمد صاحب جابر admin@vlan</t>
  </si>
  <si>
    <t>منتظر ماجد حسن admin@nakib</t>
  </si>
  <si>
    <t>علاء صاحب gsm2@iqcell_21</t>
  </si>
  <si>
    <t>عباس حلواص abbas@iqcell_20</t>
  </si>
  <si>
    <t>وكلاء المشروع القديم</t>
  </si>
  <si>
    <t>IQ.B%15</t>
  </si>
  <si>
    <t>IQ.S%15</t>
  </si>
  <si>
    <t>IQ.G%15</t>
  </si>
  <si>
    <t>IQ.P%15</t>
  </si>
  <si>
    <t>حسنين صاحب @GSM</t>
  </si>
  <si>
    <t xml:space="preserve"> الوكيل ضياء عبد الحسين/Alamri@IQCELL_10</t>
  </si>
  <si>
    <t>سامر داخل@MEGA</t>
  </si>
  <si>
    <t>شركة افاق الأرضDigital@IQCELL_12</t>
  </si>
  <si>
    <t>منتظر ماجد حسن admin@nakib1</t>
  </si>
  <si>
    <t>Admin@Alamri1/ العامري1</t>
  </si>
  <si>
    <t xml:space="preserve">  16%نسبة الوكيل </t>
  </si>
  <si>
    <t xml:space="preserve">16%نسبة الوكيل </t>
  </si>
  <si>
    <t>كشف تفعيلات وكلاء المرحلة الثانية لشهر ( اكتوبر)مشروع الـFTTH</t>
  </si>
  <si>
    <t>كشف تفعيلات وكلاء المشروع القديم و المرحلة الأولى لشهر (اكتوبر )مشروع الـFTTH</t>
  </si>
  <si>
    <t>نسب الوكلاء المشروع القديم لشهر أكتوبر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</si>
</sst>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801C3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5D11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4" applyNumberFormat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5" fillId="8" borderId="0" applyNumberFormat="0" applyBorder="0" applyAlignment="0" applyProtection="0"/>
    <xf numFmtId="0" fontId="2" fillId="9" borderId="0" applyNumberFormat="0" applyBorder="0" applyAlignment="0" applyProtection="0"/>
  </cellStyleXfs>
  <cellXfs count="62">
    <xf numFmtId="0" fontId="0" fillId="0" borderId="0" xfId="0"/>
    <xf numFmtId="0" fontId="8" fillId="0" borderId="5" xfId="5" applyFont="1" applyFill="1" applyBorder="1" applyAlignment="1">
      <alignment horizontal="center" vertical="center" wrapText="1"/>
    </xf>
    <xf numFmtId="164" fontId="8" fillId="0" borderId="5" xfId="5" applyNumberFormat="1" applyFont="1" applyFill="1" applyBorder="1" applyAlignment="1">
      <alignment horizontal="center" vertical="center"/>
    </xf>
    <xf numFmtId="164" fontId="0" fillId="0" borderId="0" xfId="0" applyNumberFormat="1"/>
    <xf numFmtId="0" fontId="1" fillId="10" borderId="1" xfId="0" applyFont="1" applyFill="1" applyBorder="1" applyAlignment="1">
      <alignment horizontal="center" vertical="center" wrapText="1"/>
    </xf>
    <xf numFmtId="0" fontId="7" fillId="11" borderId="5" xfId="4" applyFont="1" applyFill="1" applyBorder="1" applyAlignment="1">
      <alignment horizontal="center" vertical="center"/>
    </xf>
    <xf numFmtId="0" fontId="7" fillId="11" borderId="5" xfId="6" applyFont="1" applyFill="1" applyBorder="1" applyAlignment="1">
      <alignment horizontal="center" vertical="center"/>
    </xf>
    <xf numFmtId="0" fontId="7" fillId="11" borderId="5" xfId="7" applyFont="1" applyFill="1" applyBorder="1" applyAlignment="1">
      <alignment horizontal="center" vertical="center"/>
    </xf>
    <xf numFmtId="0" fontId="7" fillId="11" borderId="5" xfId="9" applyFont="1" applyFill="1" applyBorder="1" applyAlignment="1">
      <alignment horizontal="center" vertical="center"/>
    </xf>
    <xf numFmtId="1" fontId="8" fillId="11" borderId="5" xfId="8" applyNumberFormat="1" applyFont="1" applyFill="1" applyBorder="1" applyAlignment="1">
      <alignment horizontal="center" vertical="center"/>
    </xf>
    <xf numFmtId="164" fontId="7" fillId="11" borderId="5" xfId="1" applyNumberFormat="1" applyFont="1" applyFill="1" applyBorder="1" applyAlignment="1">
      <alignment horizontal="center" vertical="center"/>
    </xf>
    <xf numFmtId="164" fontId="8" fillId="11" borderId="5" xfId="1" applyNumberFormat="1" applyFont="1" applyFill="1" applyBorder="1" applyAlignment="1">
      <alignment horizontal="center" vertical="center"/>
    </xf>
    <xf numFmtId="164" fontId="7" fillId="11" borderId="5" xfId="4" applyNumberFormat="1" applyFont="1" applyFill="1" applyBorder="1" applyAlignment="1">
      <alignment horizontal="center" vertical="center"/>
    </xf>
    <xf numFmtId="164" fontId="7" fillId="11" borderId="5" xfId="6" applyNumberFormat="1" applyFont="1" applyFill="1" applyBorder="1" applyAlignment="1">
      <alignment horizontal="center" vertical="center"/>
    </xf>
    <xf numFmtId="164" fontId="7" fillId="11" borderId="5" xfId="7" applyNumberFormat="1" applyFont="1" applyFill="1" applyBorder="1" applyAlignment="1">
      <alignment horizontal="center" vertical="center"/>
    </xf>
    <xf numFmtId="164" fontId="7" fillId="11" borderId="5" xfId="9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4" fontId="8" fillId="0" borderId="5" xfId="5" applyNumberFormat="1" applyFont="1" applyFill="1" applyBorder="1" applyAlignment="1">
      <alignment horizontal="center" vertical="center" wrapText="1"/>
    </xf>
    <xf numFmtId="165" fontId="1" fillId="10" borderId="1" xfId="1" applyNumberFormat="1" applyFont="1" applyFill="1" applyBorder="1" applyAlignment="1">
      <alignment horizontal="center" vertical="center" wrapText="1"/>
    </xf>
    <xf numFmtId="0" fontId="11" fillId="10" borderId="5" xfId="6" applyFont="1" applyFill="1" applyBorder="1" applyAlignment="1">
      <alignment horizontal="center" vertical="center" wrapText="1"/>
    </xf>
    <xf numFmtId="0" fontId="11" fillId="10" borderId="5" xfId="7" applyFont="1" applyFill="1" applyBorder="1" applyAlignment="1">
      <alignment horizontal="center" vertical="center" wrapText="1"/>
    </xf>
    <xf numFmtId="0" fontId="11" fillId="10" borderId="5" xfId="9" applyFont="1" applyFill="1" applyBorder="1" applyAlignment="1">
      <alignment horizontal="center" vertical="center" wrapText="1"/>
    </xf>
    <xf numFmtId="1" fontId="11" fillId="10" borderId="5" xfId="8" applyNumberFormat="1" applyFont="1" applyFill="1" applyBorder="1" applyAlignment="1">
      <alignment horizontal="center" vertical="center" wrapText="1"/>
    </xf>
    <xf numFmtId="164" fontId="11" fillId="10" borderId="5" xfId="1" applyNumberFormat="1" applyFont="1" applyFill="1" applyBorder="1" applyAlignment="1">
      <alignment horizontal="center" vertical="center" wrapText="1"/>
    </xf>
    <xf numFmtId="164" fontId="11" fillId="10" borderId="5" xfId="3" applyNumberFormat="1" applyFont="1" applyFill="1" applyBorder="1" applyAlignment="1">
      <alignment horizontal="center" vertical="center" wrapText="1"/>
    </xf>
    <xf numFmtId="164" fontId="11" fillId="10" borderId="5" xfId="4" applyNumberFormat="1" applyFont="1" applyFill="1" applyBorder="1" applyAlignment="1">
      <alignment horizontal="center" vertical="center" wrapText="1"/>
    </xf>
    <xf numFmtId="164" fontId="11" fillId="10" borderId="5" xfId="6" applyNumberFormat="1" applyFont="1" applyFill="1" applyBorder="1" applyAlignment="1">
      <alignment horizontal="center" vertical="center" wrapText="1"/>
    </xf>
    <xf numFmtId="164" fontId="11" fillId="10" borderId="5" xfId="7" applyNumberFormat="1" applyFont="1" applyFill="1" applyBorder="1" applyAlignment="1">
      <alignment horizontal="center" vertical="center" wrapText="1"/>
    </xf>
    <xf numFmtId="164" fontId="11" fillId="10" borderId="5" xfId="9" applyNumberFormat="1" applyFont="1" applyFill="1" applyBorder="1" applyAlignment="1">
      <alignment horizontal="center" vertical="center" wrapText="1"/>
    </xf>
    <xf numFmtId="164" fontId="11" fillId="10" borderId="5" xfId="5" applyNumberFormat="1" applyFont="1" applyFill="1" applyBorder="1" applyAlignment="1">
      <alignment horizontal="center" vertical="center" wrapText="1"/>
    </xf>
    <xf numFmtId="0" fontId="7" fillId="12" borderId="5" xfId="4" applyFont="1" applyFill="1" applyBorder="1" applyAlignment="1">
      <alignment horizontal="center" vertical="center" wrapText="1"/>
    </xf>
    <xf numFmtId="0" fontId="8" fillId="13" borderId="5" xfId="5" applyFont="1" applyFill="1" applyBorder="1" applyAlignment="1">
      <alignment horizontal="center" vertical="center" wrapText="1"/>
    </xf>
    <xf numFmtId="164" fontId="8" fillId="13" borderId="5" xfId="5" applyNumberFormat="1" applyFont="1" applyFill="1" applyBorder="1" applyAlignment="1">
      <alignment horizontal="center" vertical="center" wrapText="1"/>
    </xf>
    <xf numFmtId="0" fontId="8" fillId="13" borderId="5" xfId="8" applyFont="1" applyFill="1" applyBorder="1" applyAlignment="1">
      <alignment horizontal="center" vertical="center" wrapText="1"/>
    </xf>
    <xf numFmtId="164" fontId="7" fillId="13" borderId="5" xfId="1" applyNumberFormat="1" applyFont="1" applyFill="1" applyBorder="1" applyAlignment="1">
      <alignment horizontal="center" vertical="center"/>
    </xf>
    <xf numFmtId="0" fontId="8" fillId="13" borderId="5" xfId="3" applyFont="1" applyFill="1" applyBorder="1" applyAlignment="1">
      <alignment horizontal="center" vertical="center"/>
    </xf>
    <xf numFmtId="0" fontId="7" fillId="14" borderId="5" xfId="4" applyFont="1" applyFill="1" applyBorder="1" applyAlignment="1">
      <alignment horizontal="center" vertical="center"/>
    </xf>
    <xf numFmtId="0" fontId="7" fillId="12" borderId="5" xfId="6" applyFont="1" applyFill="1" applyBorder="1" applyAlignment="1">
      <alignment horizontal="center" vertical="center"/>
    </xf>
    <xf numFmtId="0" fontId="7" fillId="16" borderId="5" xfId="7" applyFont="1" applyFill="1" applyBorder="1" applyAlignment="1">
      <alignment horizontal="center" vertical="center"/>
    </xf>
    <xf numFmtId="0" fontId="7" fillId="15" borderId="5" xfId="9" applyFont="1" applyFill="1" applyBorder="1" applyAlignment="1">
      <alignment horizontal="center" vertical="center"/>
    </xf>
    <xf numFmtId="0" fontId="8" fillId="17" borderId="5" xfId="8" applyFont="1" applyFill="1" applyBorder="1" applyAlignment="1">
      <alignment horizontal="center" vertical="center" wrapText="1"/>
    </xf>
    <xf numFmtId="164" fontId="7" fillId="17" borderId="5" xfId="1" applyNumberFormat="1" applyFont="1" applyFill="1" applyBorder="1" applyAlignment="1">
      <alignment horizontal="center" vertical="center" wrapText="1"/>
    </xf>
    <xf numFmtId="0" fontId="8" fillId="17" borderId="5" xfId="3" applyFont="1" applyFill="1" applyBorder="1" applyAlignment="1">
      <alignment horizontal="center" vertical="center" wrapText="1"/>
    </xf>
    <xf numFmtId="1" fontId="8" fillId="17" borderId="5" xfId="8" applyNumberFormat="1" applyFont="1" applyFill="1" applyBorder="1" applyAlignment="1">
      <alignment horizontal="center" vertical="center" wrapText="1"/>
    </xf>
    <xf numFmtId="164" fontId="8" fillId="17" borderId="5" xfId="3" applyNumberFormat="1" applyFont="1" applyFill="1" applyBorder="1" applyAlignment="1">
      <alignment horizontal="center" vertical="center" wrapText="1"/>
    </xf>
    <xf numFmtId="164" fontId="7" fillId="17" borderId="5" xfId="4" applyNumberFormat="1" applyFont="1" applyFill="1" applyBorder="1" applyAlignment="1">
      <alignment horizontal="center" vertical="center" wrapText="1"/>
    </xf>
    <xf numFmtId="164" fontId="7" fillId="17" borderId="5" xfId="6" applyNumberFormat="1" applyFont="1" applyFill="1" applyBorder="1" applyAlignment="1">
      <alignment horizontal="center" vertical="center" wrapText="1"/>
    </xf>
    <xf numFmtId="164" fontId="7" fillId="17" borderId="5" xfId="7" applyNumberFormat="1" applyFont="1" applyFill="1" applyBorder="1" applyAlignment="1">
      <alignment horizontal="center" vertical="center" wrapText="1"/>
    </xf>
    <xf numFmtId="164" fontId="7" fillId="17" borderId="5" xfId="9" applyNumberFormat="1" applyFont="1" applyFill="1" applyBorder="1" applyAlignment="1">
      <alignment horizontal="center" vertical="center" wrapText="1"/>
    </xf>
    <xf numFmtId="0" fontId="11" fillId="10" borderId="5" xfId="4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/>
    </xf>
    <xf numFmtId="165" fontId="9" fillId="17" borderId="9" xfId="1" applyNumberFormat="1" applyFont="1" applyFill="1" applyBorder="1" applyAlignment="1">
      <alignment horizontal="center" vertical="center"/>
    </xf>
    <xf numFmtId="165" fontId="9" fillId="18" borderId="9" xfId="1" applyNumberFormat="1" applyFont="1" applyFill="1" applyBorder="1" applyAlignment="1">
      <alignment horizontal="center" vertical="center"/>
    </xf>
    <xf numFmtId="0" fontId="6" fillId="10" borderId="6" xfId="2" applyFont="1" applyFill="1" applyBorder="1" applyAlignment="1">
      <alignment horizontal="center" vertical="center" wrapText="1"/>
    </xf>
    <xf numFmtId="0" fontId="6" fillId="10" borderId="7" xfId="2" applyFont="1" applyFill="1" applyBorder="1" applyAlignment="1">
      <alignment horizontal="center" vertical="center" wrapText="1"/>
    </xf>
    <xf numFmtId="0" fontId="6" fillId="10" borderId="8" xfId="2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</cellXfs>
  <cellStyles count="10">
    <cellStyle name="20% - تمييز1" xfId="4" builtinId="30"/>
    <cellStyle name="20% - تمييز3" xfId="6" builtinId="38"/>
    <cellStyle name="20% - تمييز4" xfId="7" builtinId="42"/>
    <cellStyle name="20% - تمييز6" xfId="9" builtinId="50"/>
    <cellStyle name="Comma" xfId="1" builtinId="3"/>
    <cellStyle name="تمييز2" xfId="5" builtinId="33"/>
    <cellStyle name="تمييز6" xfId="8" builtinId="49"/>
    <cellStyle name="خلية تدقيق" xfId="3" builtinId="23"/>
    <cellStyle name="سيئ" xfId="2" builtinId="27"/>
    <cellStyle name="عادي" xfId="0" builtinId="0"/>
  </cellStyles>
  <dxfs count="0"/>
  <tableStyles count="0" defaultTableStyle="TableStyleMedium2" defaultPivotStyle="PivotStyleLight16"/>
  <colors>
    <mruColors>
      <color rgb="FFD5D119"/>
      <color rgb="FFCC9900"/>
      <color rgb="FF801C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86847</xdr:colOff>
      <xdr:row>25</xdr:row>
      <xdr:rowOff>168648</xdr:rowOff>
    </xdr:from>
    <xdr:to>
      <xdr:col>6</xdr:col>
      <xdr:colOff>615204</xdr:colOff>
      <xdr:row>32</xdr:row>
      <xdr:rowOff>6723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79BD289-DDA1-4D68-8F55-88B86713A587}"/>
            </a:ext>
          </a:extLst>
        </xdr:cNvPr>
        <xdr:cNvSpPr txBox="1"/>
      </xdr:nvSpPr>
      <xdr:spPr>
        <a:xfrm>
          <a:off x="9915828678" y="11654677"/>
          <a:ext cx="3710828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IQ" sz="1800" b="1"/>
            <a:t>حسن حيدر عليوي</a:t>
          </a:r>
          <a:endParaRPr lang="ar-IQ" sz="1800" b="1" baseline="0"/>
        </a:p>
        <a:p>
          <a:pPr algn="ctr" rtl="1"/>
          <a:r>
            <a:rPr lang="ar-IQ" sz="1800" b="1" baseline="0"/>
            <a:t>موظف حسابات</a:t>
          </a:r>
          <a:endParaRPr lang="en-US" sz="1800" b="1"/>
        </a:p>
      </xdr:txBody>
    </xdr:sp>
    <xdr:clientData/>
  </xdr:twoCellAnchor>
  <xdr:twoCellAnchor>
    <xdr:from>
      <xdr:col>6</xdr:col>
      <xdr:colOff>829236</xdr:colOff>
      <xdr:row>25</xdr:row>
      <xdr:rowOff>179295</xdr:rowOff>
    </xdr:from>
    <xdr:to>
      <xdr:col>9</xdr:col>
      <xdr:colOff>730064</xdr:colOff>
      <xdr:row>32</xdr:row>
      <xdr:rowOff>17370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FEB12BFB-08C9-4174-88AE-574FF3F65BC1}"/>
            </a:ext>
          </a:extLst>
        </xdr:cNvPr>
        <xdr:cNvSpPr txBox="1"/>
      </xdr:nvSpPr>
      <xdr:spPr>
        <a:xfrm>
          <a:off x="9911903818" y="11665324"/>
          <a:ext cx="3710828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IQ" sz="1800" b="1"/>
            <a:t>حسين مهند وحيد</a:t>
          </a:r>
          <a:endParaRPr lang="ar-IQ" sz="1800" b="1" baseline="0"/>
        </a:p>
        <a:p>
          <a:pPr algn="ctr" rtl="1"/>
          <a:r>
            <a:rPr lang="ar-IQ" sz="1800" b="1" baseline="0"/>
            <a:t>موظف حسابات</a:t>
          </a:r>
          <a:endParaRPr lang="en-US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647699</xdr:colOff>
      <xdr:row>20</xdr:row>
      <xdr:rowOff>47625</xdr:rowOff>
    </xdr:from>
    <xdr:to>
      <xdr:col>6</xdr:col>
      <xdr:colOff>609599</xdr:colOff>
      <xdr:row>23</xdr:row>
      <xdr:rowOff>190500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2E800144-B066-408E-96B2-380DAA7F965C}"/>
            </a:ext>
          </a:extLst>
        </xdr:cNvPr>
        <xdr:cNvSpPr txBox="1"/>
      </xdr:nvSpPr>
      <xdr:spPr>
        <a:xfrm>
          <a:off x="9989000851" y="9906000"/>
          <a:ext cx="4514850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IQ" sz="1800" b="1"/>
            <a:t>حسن حيدر عليوي</a:t>
          </a:r>
          <a:endParaRPr lang="ar-IQ" sz="1800" b="1" baseline="0"/>
        </a:p>
        <a:p>
          <a:pPr algn="ctr" rtl="1"/>
          <a:r>
            <a:rPr lang="ar-IQ" sz="1800" b="1" baseline="0"/>
            <a:t>موظف حسابات</a:t>
          </a:r>
          <a:endParaRPr lang="en-US" sz="1800" b="1"/>
        </a:p>
      </xdr:txBody>
    </xdr:sp>
    <xdr:clientData/>
  </xdr:twoCellAnchor>
  <xdr:twoCellAnchor>
    <xdr:from>
      <xdr:col>6</xdr:col>
      <xdr:colOff>828675</xdr:colOff>
      <xdr:row>20</xdr:row>
      <xdr:rowOff>57150</xdr:rowOff>
    </xdr:from>
    <xdr:to>
      <xdr:col>10</xdr:col>
      <xdr:colOff>552450</xdr:colOff>
      <xdr:row>23</xdr:row>
      <xdr:rowOff>200025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48962D9E-337B-48E5-ADD2-C9A82015A853}"/>
            </a:ext>
          </a:extLst>
        </xdr:cNvPr>
        <xdr:cNvSpPr txBox="1"/>
      </xdr:nvSpPr>
      <xdr:spPr>
        <a:xfrm>
          <a:off x="9984266925" y="9915525"/>
          <a:ext cx="4514850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IQ" sz="1800" b="1"/>
            <a:t>حسين مهند وحيد</a:t>
          </a:r>
          <a:endParaRPr lang="ar-IQ" sz="1800" b="1" baseline="0"/>
        </a:p>
        <a:p>
          <a:pPr algn="ctr" rtl="1"/>
          <a:r>
            <a:rPr lang="ar-IQ" sz="1800" b="1" baseline="0"/>
            <a:t>موظف حسابات</a:t>
          </a:r>
          <a:endParaRPr lang="en-US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dmin@IQCELL_29%20/%20&#1581;&#1587;&#1606;&#1610;&#1606;%20&#1589;&#1575;&#1581;&#1576;%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rightToLeft="1" zoomScale="85" zoomScaleNormal="85" workbookViewId="0">
      <selection activeCell="F6" sqref="F6"/>
    </sheetView>
  </sheetViews>
  <sheetFormatPr defaultColWidth="9" defaultRowHeight="15" x14ac:dyDescent="0.25"/>
  <cols>
    <col min="1" max="1" width="22.42578125" style="17" customWidth="1"/>
    <col min="2" max="2" width="8.7109375" style="17" customWidth="1"/>
    <col min="3" max="3" width="8.42578125" style="17" customWidth="1"/>
    <col min="4" max="4" width="9.42578125" style="17" customWidth="1"/>
    <col min="5" max="5" width="7.28515625" style="17" customWidth="1"/>
    <col min="6" max="6" width="14" style="17" customWidth="1"/>
    <col min="7" max="7" width="22.7109375" style="17" bestFit="1" customWidth="1"/>
    <col min="8" max="8" width="17.28515625" style="17" bestFit="1" customWidth="1"/>
    <col min="9" max="10" width="17.140625" style="17" bestFit="1" customWidth="1"/>
    <col min="11" max="11" width="18.85546875" style="17" bestFit="1" customWidth="1"/>
    <col min="12" max="13" width="17.140625" style="17" bestFit="1" customWidth="1"/>
    <col min="14" max="14" width="15.7109375" style="17" bestFit="1" customWidth="1"/>
    <col min="15" max="15" width="15.5703125" style="17" bestFit="1" customWidth="1"/>
    <col min="16" max="16" width="19.28515625" style="17" customWidth="1"/>
    <col min="17" max="16384" width="9" style="17"/>
  </cols>
  <sheetData>
    <row r="1" spans="1:16" s="16" customFormat="1" ht="21.75" customHeight="1" thickBot="1" x14ac:dyDescent="0.4">
      <c r="A1" s="51" t="s">
        <v>52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4"/>
    </row>
    <row r="2" spans="1:16" s="16" customFormat="1" ht="21.75" thickBot="1" x14ac:dyDescent="0.4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  <c r="P2" s="4"/>
    </row>
    <row r="3" spans="1:16" ht="38.25" thickBot="1" x14ac:dyDescent="0.3">
      <c r="A3" s="4" t="s">
        <v>0</v>
      </c>
      <c r="B3" s="37" t="s">
        <v>9</v>
      </c>
      <c r="C3" s="38" t="s">
        <v>8</v>
      </c>
      <c r="D3" s="39" t="s">
        <v>7</v>
      </c>
      <c r="E3" s="40" t="s">
        <v>6</v>
      </c>
      <c r="F3" s="41" t="s">
        <v>12</v>
      </c>
      <c r="G3" s="42" t="s">
        <v>5</v>
      </c>
      <c r="H3" s="42" t="s">
        <v>4</v>
      </c>
      <c r="I3" s="42" t="s">
        <v>3</v>
      </c>
      <c r="J3" s="42" t="s">
        <v>2</v>
      </c>
      <c r="K3" s="43" t="s">
        <v>1</v>
      </c>
      <c r="L3" s="42" t="s">
        <v>13</v>
      </c>
      <c r="M3" s="42" t="s">
        <v>14</v>
      </c>
      <c r="N3" s="42" t="s">
        <v>15</v>
      </c>
      <c r="O3" s="42" t="s">
        <v>16</v>
      </c>
      <c r="P3" s="32" t="s">
        <v>49</v>
      </c>
    </row>
    <row r="4" spans="1:16" ht="42.75" thickBot="1" x14ac:dyDescent="0.3">
      <c r="A4" s="4" t="s">
        <v>31</v>
      </c>
      <c r="B4" s="31">
        <v>598</v>
      </c>
      <c r="C4" s="31">
        <v>234</v>
      </c>
      <c r="D4" s="31">
        <v>120</v>
      </c>
      <c r="E4" s="31">
        <v>14</v>
      </c>
      <c r="F4" s="44">
        <f>B4+C4+D4+E4</f>
        <v>966</v>
      </c>
      <c r="G4" s="42">
        <f>B4*30000</f>
        <v>17940000</v>
      </c>
      <c r="H4" s="42">
        <f>C4*40000</f>
        <v>9360000</v>
      </c>
      <c r="I4" s="42">
        <f>D4*50000</f>
        <v>6000000</v>
      </c>
      <c r="J4" s="42">
        <f>E4*65000</f>
        <v>910000</v>
      </c>
      <c r="K4" s="45">
        <f>J4+I4+H4+G4</f>
        <v>34210000</v>
      </c>
      <c r="L4" s="46">
        <f>G4*16%</f>
        <v>2870400</v>
      </c>
      <c r="M4" s="47">
        <f>H4*16%</f>
        <v>1497600</v>
      </c>
      <c r="N4" s="48">
        <f>I4*16%</f>
        <v>960000</v>
      </c>
      <c r="O4" s="49">
        <f>J4*16%</f>
        <v>145600</v>
      </c>
      <c r="P4" s="33">
        <f>L4+M4+N4+O4</f>
        <v>5473600</v>
      </c>
    </row>
    <row r="5" spans="1:16" ht="63.75" thickBot="1" x14ac:dyDescent="0.3">
      <c r="A5" s="4" t="s">
        <v>32</v>
      </c>
      <c r="B5" s="31">
        <v>963</v>
      </c>
      <c r="C5" s="31">
        <v>191</v>
      </c>
      <c r="D5" s="31">
        <v>86</v>
      </c>
      <c r="E5" s="31">
        <v>11</v>
      </c>
      <c r="F5" s="44">
        <f t="shared" ref="F5:F11" si="0">B5+C5+D5+E5</f>
        <v>1251</v>
      </c>
      <c r="G5" s="42">
        <f t="shared" ref="G5:G11" si="1">B5*30000</f>
        <v>28890000</v>
      </c>
      <c r="H5" s="42">
        <f t="shared" ref="H5:H11" si="2">C5*40000</f>
        <v>7640000</v>
      </c>
      <c r="I5" s="42">
        <f t="shared" ref="I5:I11" si="3">D5*50000</f>
        <v>4300000</v>
      </c>
      <c r="J5" s="42">
        <f t="shared" ref="J5:J11" si="4">E5*65000</f>
        <v>715000</v>
      </c>
      <c r="K5" s="45">
        <f t="shared" ref="K5:K11" si="5">J5+I5+H5+G5</f>
        <v>41545000</v>
      </c>
      <c r="L5" s="46">
        <f t="shared" ref="L5:O11" si="6">G5*16%</f>
        <v>4622400</v>
      </c>
      <c r="M5" s="47">
        <f t="shared" si="6"/>
        <v>1222400</v>
      </c>
      <c r="N5" s="48">
        <f t="shared" si="6"/>
        <v>688000</v>
      </c>
      <c r="O5" s="49">
        <f t="shared" si="6"/>
        <v>114400</v>
      </c>
      <c r="P5" s="33">
        <f t="shared" ref="P5:P11" si="7">L5+M5+N5+O5</f>
        <v>6647200</v>
      </c>
    </row>
    <row r="6" spans="1:16" ht="42.75" thickBot="1" x14ac:dyDescent="0.3">
      <c r="A6" s="4" t="s">
        <v>33</v>
      </c>
      <c r="B6" s="31">
        <v>1098</v>
      </c>
      <c r="C6" s="31">
        <v>236</v>
      </c>
      <c r="D6" s="31">
        <v>117</v>
      </c>
      <c r="E6" s="31">
        <v>23</v>
      </c>
      <c r="F6" s="44">
        <f t="shared" si="0"/>
        <v>1474</v>
      </c>
      <c r="G6" s="42">
        <f t="shared" si="1"/>
        <v>32940000</v>
      </c>
      <c r="H6" s="42">
        <f t="shared" si="2"/>
        <v>9440000</v>
      </c>
      <c r="I6" s="42">
        <f t="shared" si="3"/>
        <v>5850000</v>
      </c>
      <c r="J6" s="42">
        <f t="shared" si="4"/>
        <v>1495000</v>
      </c>
      <c r="K6" s="45">
        <f t="shared" si="5"/>
        <v>49725000</v>
      </c>
      <c r="L6" s="46">
        <f t="shared" si="6"/>
        <v>5270400</v>
      </c>
      <c r="M6" s="47">
        <f t="shared" si="6"/>
        <v>1510400</v>
      </c>
      <c r="N6" s="48">
        <f t="shared" si="6"/>
        <v>936000</v>
      </c>
      <c r="O6" s="49">
        <f t="shared" si="6"/>
        <v>239200</v>
      </c>
      <c r="P6" s="33">
        <f t="shared" si="7"/>
        <v>7956000</v>
      </c>
    </row>
    <row r="7" spans="1:16" ht="42.75" thickBot="1" x14ac:dyDescent="0.3">
      <c r="A7" s="4" t="s">
        <v>34</v>
      </c>
      <c r="B7" s="31">
        <v>516</v>
      </c>
      <c r="C7" s="31">
        <v>292</v>
      </c>
      <c r="D7" s="31">
        <v>353</v>
      </c>
      <c r="E7" s="31">
        <v>105</v>
      </c>
      <c r="F7" s="44">
        <f t="shared" si="0"/>
        <v>1266</v>
      </c>
      <c r="G7" s="42">
        <f t="shared" si="1"/>
        <v>15480000</v>
      </c>
      <c r="H7" s="42">
        <f t="shared" si="2"/>
        <v>11680000</v>
      </c>
      <c r="I7" s="42">
        <f t="shared" si="3"/>
        <v>17650000</v>
      </c>
      <c r="J7" s="42">
        <f t="shared" si="4"/>
        <v>6825000</v>
      </c>
      <c r="K7" s="45">
        <f t="shared" si="5"/>
        <v>51635000</v>
      </c>
      <c r="L7" s="46">
        <f t="shared" si="6"/>
        <v>2476800</v>
      </c>
      <c r="M7" s="47">
        <f t="shared" si="6"/>
        <v>1868800</v>
      </c>
      <c r="N7" s="48">
        <f t="shared" si="6"/>
        <v>2824000</v>
      </c>
      <c r="O7" s="49">
        <f t="shared" si="6"/>
        <v>1092000</v>
      </c>
      <c r="P7" s="33">
        <f t="shared" si="7"/>
        <v>8261600</v>
      </c>
    </row>
    <row r="8" spans="1:16" ht="42.75" thickBot="1" x14ac:dyDescent="0.3">
      <c r="A8" s="4" t="s">
        <v>47</v>
      </c>
      <c r="B8" s="31">
        <v>1</v>
      </c>
      <c r="C8" s="31"/>
      <c r="D8" s="31"/>
      <c r="E8" s="31"/>
      <c r="F8" s="44">
        <f t="shared" si="0"/>
        <v>1</v>
      </c>
      <c r="G8" s="42">
        <f t="shared" si="1"/>
        <v>30000</v>
      </c>
      <c r="H8" s="42">
        <f t="shared" si="2"/>
        <v>0</v>
      </c>
      <c r="I8" s="42">
        <f t="shared" si="3"/>
        <v>0</v>
      </c>
      <c r="J8" s="42">
        <f t="shared" si="4"/>
        <v>0</v>
      </c>
      <c r="K8" s="45">
        <f t="shared" si="5"/>
        <v>30000</v>
      </c>
      <c r="L8" s="46">
        <f t="shared" si="6"/>
        <v>4800</v>
      </c>
      <c r="M8" s="47">
        <f t="shared" si="6"/>
        <v>0</v>
      </c>
      <c r="N8" s="48">
        <f t="shared" si="6"/>
        <v>0</v>
      </c>
      <c r="O8" s="49">
        <f t="shared" si="6"/>
        <v>0</v>
      </c>
      <c r="P8" s="33">
        <f>L8+M8+N8+O8</f>
        <v>4800</v>
      </c>
    </row>
    <row r="9" spans="1:16" ht="42.75" thickBot="1" x14ac:dyDescent="0.3">
      <c r="A9" s="4" t="s">
        <v>35</v>
      </c>
      <c r="B9" s="31">
        <v>698</v>
      </c>
      <c r="C9" s="31">
        <v>282</v>
      </c>
      <c r="D9" s="31">
        <v>200</v>
      </c>
      <c r="E9" s="31">
        <v>23</v>
      </c>
      <c r="F9" s="44">
        <f t="shared" si="0"/>
        <v>1203</v>
      </c>
      <c r="G9" s="42">
        <f t="shared" si="1"/>
        <v>20940000</v>
      </c>
      <c r="H9" s="42">
        <f t="shared" si="2"/>
        <v>11280000</v>
      </c>
      <c r="I9" s="42">
        <f t="shared" si="3"/>
        <v>10000000</v>
      </c>
      <c r="J9" s="42">
        <f t="shared" si="4"/>
        <v>1495000</v>
      </c>
      <c r="K9" s="45">
        <f t="shared" si="5"/>
        <v>43715000</v>
      </c>
      <c r="L9" s="46">
        <f t="shared" si="6"/>
        <v>3350400</v>
      </c>
      <c r="M9" s="47">
        <f t="shared" si="6"/>
        <v>1804800</v>
      </c>
      <c r="N9" s="48">
        <f t="shared" si="6"/>
        <v>1600000</v>
      </c>
      <c r="O9" s="49">
        <f t="shared" si="6"/>
        <v>239200</v>
      </c>
      <c r="P9" s="33">
        <f t="shared" si="7"/>
        <v>6994400</v>
      </c>
    </row>
    <row r="10" spans="1:16" ht="42.75" thickBot="1" x14ac:dyDescent="0.3">
      <c r="A10" s="4" t="s">
        <v>36</v>
      </c>
      <c r="B10" s="31">
        <v>634</v>
      </c>
      <c r="C10" s="31">
        <v>276</v>
      </c>
      <c r="D10" s="31">
        <v>182</v>
      </c>
      <c r="E10" s="31">
        <v>38</v>
      </c>
      <c r="F10" s="44">
        <f t="shared" si="0"/>
        <v>1130</v>
      </c>
      <c r="G10" s="42">
        <f t="shared" si="1"/>
        <v>19020000</v>
      </c>
      <c r="H10" s="42">
        <f t="shared" si="2"/>
        <v>11040000</v>
      </c>
      <c r="I10" s="42">
        <f t="shared" si="3"/>
        <v>9100000</v>
      </c>
      <c r="J10" s="42">
        <f t="shared" si="4"/>
        <v>2470000</v>
      </c>
      <c r="K10" s="45">
        <f t="shared" si="5"/>
        <v>41630000</v>
      </c>
      <c r="L10" s="46">
        <f t="shared" si="6"/>
        <v>3043200</v>
      </c>
      <c r="M10" s="47">
        <f t="shared" si="6"/>
        <v>1766400</v>
      </c>
      <c r="N10" s="48">
        <f t="shared" si="6"/>
        <v>1456000</v>
      </c>
      <c r="O10" s="49">
        <f t="shared" si="6"/>
        <v>395200</v>
      </c>
      <c r="P10" s="33">
        <f t="shared" si="7"/>
        <v>6660800</v>
      </c>
    </row>
    <row r="11" spans="1:16" ht="63.75" thickBot="1" x14ac:dyDescent="0.3">
      <c r="A11" s="4" t="s">
        <v>37</v>
      </c>
      <c r="B11" s="31">
        <v>530</v>
      </c>
      <c r="C11" s="31">
        <v>197</v>
      </c>
      <c r="D11" s="31">
        <v>138</v>
      </c>
      <c r="E11" s="31">
        <v>24</v>
      </c>
      <c r="F11" s="44">
        <f t="shared" si="0"/>
        <v>889</v>
      </c>
      <c r="G11" s="42">
        <f t="shared" si="1"/>
        <v>15900000</v>
      </c>
      <c r="H11" s="42">
        <f t="shared" si="2"/>
        <v>7880000</v>
      </c>
      <c r="I11" s="42">
        <f t="shared" si="3"/>
        <v>6900000</v>
      </c>
      <c r="J11" s="42">
        <f t="shared" si="4"/>
        <v>1560000</v>
      </c>
      <c r="K11" s="45">
        <f t="shared" si="5"/>
        <v>32240000</v>
      </c>
      <c r="L11" s="46">
        <f t="shared" si="6"/>
        <v>2544000</v>
      </c>
      <c r="M11" s="47">
        <f t="shared" si="6"/>
        <v>1260800</v>
      </c>
      <c r="N11" s="48">
        <f t="shared" si="6"/>
        <v>1104000</v>
      </c>
      <c r="O11" s="49">
        <f t="shared" si="6"/>
        <v>249600</v>
      </c>
      <c r="P11" s="33">
        <f t="shared" si="7"/>
        <v>5158400</v>
      </c>
    </row>
    <row r="12" spans="1:16" ht="21.75" thickBot="1" x14ac:dyDescent="0.3">
      <c r="A12" s="4" t="s">
        <v>10</v>
      </c>
      <c r="B12" s="4">
        <f>SUM(B4:B11)</f>
        <v>5038</v>
      </c>
      <c r="C12" s="4">
        <f t="shared" ref="C12:P12" si="8">SUM(C4:C11)</f>
        <v>1708</v>
      </c>
      <c r="D12" s="4">
        <f t="shared" si="8"/>
        <v>1196</v>
      </c>
      <c r="E12" s="4">
        <f t="shared" si="8"/>
        <v>238</v>
      </c>
      <c r="F12" s="4">
        <f t="shared" si="8"/>
        <v>8180</v>
      </c>
      <c r="G12" s="19">
        <f t="shared" si="8"/>
        <v>151140000</v>
      </c>
      <c r="H12" s="19">
        <f t="shared" si="8"/>
        <v>68320000</v>
      </c>
      <c r="I12" s="19">
        <f t="shared" si="8"/>
        <v>59800000</v>
      </c>
      <c r="J12" s="19">
        <f t="shared" si="8"/>
        <v>15470000</v>
      </c>
      <c r="K12" s="19">
        <f t="shared" si="8"/>
        <v>294730000</v>
      </c>
      <c r="L12" s="19">
        <f t="shared" si="8"/>
        <v>24182400</v>
      </c>
      <c r="M12" s="19">
        <f t="shared" si="8"/>
        <v>10931200</v>
      </c>
      <c r="N12" s="19">
        <f t="shared" si="8"/>
        <v>9568000</v>
      </c>
      <c r="O12" s="19">
        <f t="shared" si="8"/>
        <v>2475200</v>
      </c>
      <c r="P12" s="19">
        <f t="shared" si="8"/>
        <v>47156800</v>
      </c>
    </row>
    <row r="13" spans="1:16" ht="15.75" thickBot="1" x14ac:dyDescent="0.3"/>
    <row r="14" spans="1:16" ht="21.75" customHeight="1" thickBot="1" x14ac:dyDescent="0.3">
      <c r="A14" s="51" t="s">
        <v>53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4"/>
    </row>
    <row r="15" spans="1:16" ht="21.75" customHeight="1" thickBot="1" x14ac:dyDescent="0.3">
      <c r="A15" s="51" t="s">
        <v>38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4"/>
    </row>
    <row r="16" spans="1:16" ht="38.25" thickBot="1" x14ac:dyDescent="0.3">
      <c r="A16" s="4" t="s">
        <v>0</v>
      </c>
      <c r="B16" s="37" t="s">
        <v>9</v>
      </c>
      <c r="C16" s="38" t="s">
        <v>8</v>
      </c>
      <c r="D16" s="39" t="s">
        <v>7</v>
      </c>
      <c r="E16" s="40" t="s">
        <v>6</v>
      </c>
      <c r="F16" s="41" t="s">
        <v>12</v>
      </c>
      <c r="G16" s="42" t="s">
        <v>5</v>
      </c>
      <c r="H16" s="42" t="s">
        <v>4</v>
      </c>
      <c r="I16" s="42" t="s">
        <v>3</v>
      </c>
      <c r="J16" s="42" t="s">
        <v>2</v>
      </c>
      <c r="K16" s="43" t="s">
        <v>1</v>
      </c>
      <c r="L16" s="42" t="s">
        <v>39</v>
      </c>
      <c r="M16" s="42" t="s">
        <v>40</v>
      </c>
      <c r="N16" s="42" t="s">
        <v>41</v>
      </c>
      <c r="O16" s="42" t="s">
        <v>42</v>
      </c>
      <c r="P16" s="1" t="s">
        <v>50</v>
      </c>
    </row>
    <row r="17" spans="1:16" ht="42.75" thickBot="1" x14ac:dyDescent="0.3">
      <c r="A17" s="4" t="s">
        <v>43</v>
      </c>
      <c r="B17" s="31">
        <v>902</v>
      </c>
      <c r="C17" s="31">
        <v>209</v>
      </c>
      <c r="D17" s="31">
        <v>86</v>
      </c>
      <c r="E17" s="31">
        <v>7</v>
      </c>
      <c r="F17" s="44">
        <f>B17+C17+D17+E17</f>
        <v>1204</v>
      </c>
      <c r="G17" s="42">
        <f>B17*30000</f>
        <v>27060000</v>
      </c>
      <c r="H17" s="42">
        <f>C17*40000</f>
        <v>8360000</v>
      </c>
      <c r="I17" s="42">
        <f>D17*50000</f>
        <v>4300000</v>
      </c>
      <c r="J17" s="42">
        <f>E17*65000</f>
        <v>455000</v>
      </c>
      <c r="K17" s="45">
        <f>J17+I17+H17+G17</f>
        <v>40175000</v>
      </c>
      <c r="L17" s="46">
        <f>G17*15%</f>
        <v>4059000</v>
      </c>
      <c r="M17" s="47">
        <f>H17*15%</f>
        <v>1254000</v>
      </c>
      <c r="N17" s="48">
        <f>I17*15%</f>
        <v>645000</v>
      </c>
      <c r="O17" s="49">
        <f>J17*15%</f>
        <v>68250</v>
      </c>
      <c r="P17" s="18">
        <f>L17+M17+N17+O17</f>
        <v>6026250</v>
      </c>
    </row>
    <row r="18" spans="1:16" ht="42.75" thickBot="1" x14ac:dyDescent="0.3">
      <c r="A18" s="4" t="s">
        <v>48</v>
      </c>
      <c r="B18" s="31">
        <v>119</v>
      </c>
      <c r="C18" s="31">
        <v>23</v>
      </c>
      <c r="D18" s="31">
        <v>4</v>
      </c>
      <c r="E18" s="31">
        <v>0</v>
      </c>
      <c r="F18" s="44">
        <f t="shared" ref="F18:F21" si="9">B18+C18+D18+E18</f>
        <v>146</v>
      </c>
      <c r="G18" s="42">
        <f t="shared" ref="G18:G21" si="10">B18*30000</f>
        <v>3570000</v>
      </c>
      <c r="H18" s="42">
        <f t="shared" ref="H18:H21" si="11">C18*40000</f>
        <v>920000</v>
      </c>
      <c r="I18" s="42">
        <f t="shared" ref="I18:I21" si="12">D18*50000</f>
        <v>200000</v>
      </c>
      <c r="J18" s="42">
        <f t="shared" ref="J18:J21" si="13">E18*65000</f>
        <v>0</v>
      </c>
      <c r="K18" s="45">
        <f t="shared" ref="K18:K21" si="14">J18+I18+H18+G18</f>
        <v>4690000</v>
      </c>
      <c r="L18" s="46">
        <f>G18*15%</f>
        <v>535500</v>
      </c>
      <c r="M18" s="47">
        <f>H18*15%</f>
        <v>138000</v>
      </c>
      <c r="N18" s="48">
        <f>I18*15%</f>
        <v>30000</v>
      </c>
      <c r="O18" s="49">
        <f t="shared" ref="O18:O21" si="15">J18*15%</f>
        <v>0</v>
      </c>
      <c r="P18" s="18">
        <f t="shared" ref="P18:P22" si="16">L18+M18+N18+O18</f>
        <v>703500</v>
      </c>
    </row>
    <row r="19" spans="1:16" ht="63.75" thickBot="1" x14ac:dyDescent="0.3">
      <c r="A19" s="4" t="s">
        <v>44</v>
      </c>
      <c r="B19" s="31">
        <v>248</v>
      </c>
      <c r="C19" s="31">
        <v>88</v>
      </c>
      <c r="D19" s="31">
        <v>21</v>
      </c>
      <c r="E19" s="31">
        <v>5</v>
      </c>
      <c r="F19" s="44">
        <f t="shared" si="9"/>
        <v>362</v>
      </c>
      <c r="G19" s="42">
        <f t="shared" si="10"/>
        <v>7440000</v>
      </c>
      <c r="H19" s="42">
        <f t="shared" si="11"/>
        <v>3520000</v>
      </c>
      <c r="I19" s="42">
        <f t="shared" si="12"/>
        <v>1050000</v>
      </c>
      <c r="J19" s="42">
        <f t="shared" si="13"/>
        <v>325000</v>
      </c>
      <c r="K19" s="45">
        <f t="shared" si="14"/>
        <v>12335000</v>
      </c>
      <c r="L19" s="46">
        <f t="shared" ref="L19:N21" si="17">G19*15%</f>
        <v>1116000</v>
      </c>
      <c r="M19" s="47">
        <f t="shared" si="17"/>
        <v>528000</v>
      </c>
      <c r="N19" s="48">
        <f t="shared" si="17"/>
        <v>157500</v>
      </c>
      <c r="O19" s="49">
        <f t="shared" si="15"/>
        <v>48750</v>
      </c>
      <c r="P19" s="18">
        <f t="shared" si="16"/>
        <v>1850250</v>
      </c>
    </row>
    <row r="20" spans="1:16" ht="42.75" thickBot="1" x14ac:dyDescent="0.3">
      <c r="A20" s="4" t="s">
        <v>45</v>
      </c>
      <c r="B20" s="31">
        <v>329</v>
      </c>
      <c r="C20" s="31">
        <v>42</v>
      </c>
      <c r="D20" s="31">
        <v>17</v>
      </c>
      <c r="E20" s="31">
        <v>5</v>
      </c>
      <c r="F20" s="44">
        <f t="shared" si="9"/>
        <v>393</v>
      </c>
      <c r="G20" s="42">
        <f t="shared" si="10"/>
        <v>9870000</v>
      </c>
      <c r="H20" s="42">
        <f t="shared" si="11"/>
        <v>1680000</v>
      </c>
      <c r="I20" s="42">
        <f t="shared" si="12"/>
        <v>850000</v>
      </c>
      <c r="J20" s="42">
        <f t="shared" si="13"/>
        <v>325000</v>
      </c>
      <c r="K20" s="45">
        <f t="shared" si="14"/>
        <v>12725000</v>
      </c>
      <c r="L20" s="46">
        <f t="shared" si="17"/>
        <v>1480500</v>
      </c>
      <c r="M20" s="47">
        <f t="shared" si="17"/>
        <v>252000</v>
      </c>
      <c r="N20" s="48">
        <f t="shared" si="17"/>
        <v>127500</v>
      </c>
      <c r="O20" s="49">
        <f t="shared" si="15"/>
        <v>48750</v>
      </c>
      <c r="P20" s="18">
        <f t="shared" si="16"/>
        <v>1908750</v>
      </c>
    </row>
    <row r="21" spans="1:16" ht="63.75" thickBot="1" x14ac:dyDescent="0.3">
      <c r="A21" s="4" t="s">
        <v>46</v>
      </c>
      <c r="B21" s="31">
        <v>99</v>
      </c>
      <c r="C21" s="31">
        <v>130</v>
      </c>
      <c r="D21" s="31">
        <v>11</v>
      </c>
      <c r="E21" s="31">
        <v>0</v>
      </c>
      <c r="F21" s="44">
        <f t="shared" si="9"/>
        <v>240</v>
      </c>
      <c r="G21" s="42">
        <f t="shared" si="10"/>
        <v>2970000</v>
      </c>
      <c r="H21" s="42">
        <f t="shared" si="11"/>
        <v>5200000</v>
      </c>
      <c r="I21" s="42">
        <f t="shared" si="12"/>
        <v>550000</v>
      </c>
      <c r="J21" s="42">
        <f t="shared" si="13"/>
        <v>0</v>
      </c>
      <c r="K21" s="45">
        <f t="shared" si="14"/>
        <v>8720000</v>
      </c>
      <c r="L21" s="46">
        <f t="shared" si="17"/>
        <v>445500</v>
      </c>
      <c r="M21" s="47">
        <f t="shared" si="17"/>
        <v>780000</v>
      </c>
      <c r="N21" s="48">
        <f t="shared" si="17"/>
        <v>82500</v>
      </c>
      <c r="O21" s="49">
        <f t="shared" si="15"/>
        <v>0</v>
      </c>
      <c r="P21" s="18">
        <f t="shared" si="16"/>
        <v>1308000</v>
      </c>
    </row>
    <row r="22" spans="1:16" ht="21.75" thickBot="1" x14ac:dyDescent="0.3">
      <c r="A22" s="4" t="s">
        <v>10</v>
      </c>
      <c r="B22" s="50">
        <f t="shared" ref="B22:O22" si="18">SUM(B17:B21)</f>
        <v>1697</v>
      </c>
      <c r="C22" s="20">
        <f t="shared" si="18"/>
        <v>492</v>
      </c>
      <c r="D22" s="21">
        <f t="shared" si="18"/>
        <v>139</v>
      </c>
      <c r="E22" s="22">
        <f t="shared" si="18"/>
        <v>17</v>
      </c>
      <c r="F22" s="23">
        <f t="shared" si="18"/>
        <v>2345</v>
      </c>
      <c r="G22" s="24">
        <f t="shared" si="18"/>
        <v>50910000</v>
      </c>
      <c r="H22" s="24">
        <f t="shared" si="18"/>
        <v>19680000</v>
      </c>
      <c r="I22" s="24">
        <f t="shared" si="18"/>
        <v>6950000</v>
      </c>
      <c r="J22" s="24">
        <f t="shared" si="18"/>
        <v>1105000</v>
      </c>
      <c r="K22" s="25">
        <f t="shared" si="18"/>
        <v>78645000</v>
      </c>
      <c r="L22" s="26">
        <f t="shared" si="18"/>
        <v>7636500</v>
      </c>
      <c r="M22" s="27">
        <f t="shared" si="18"/>
        <v>2952000</v>
      </c>
      <c r="N22" s="28">
        <f t="shared" si="18"/>
        <v>1042500</v>
      </c>
      <c r="O22" s="29">
        <f t="shared" si="18"/>
        <v>165750</v>
      </c>
      <c r="P22" s="30">
        <f t="shared" si="16"/>
        <v>11796750</v>
      </c>
    </row>
  </sheetData>
  <mergeCells count="4">
    <mergeCell ref="A2:O2"/>
    <mergeCell ref="A14:O14"/>
    <mergeCell ref="A15:O15"/>
    <mergeCell ref="A1:O1"/>
  </mergeCells>
  <pageMargins left="0.7" right="0.7" top="0.75" bottom="0.75" header="0.3" footer="0.3"/>
  <pageSetup paperSize="9" scale="49" orientation="landscape" horizontalDpi="4294967294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F17C-6F28-42CD-95D3-2B7F9BA9BF2E}">
  <sheetPr>
    <pageSetUpPr fitToPage="1"/>
  </sheetPr>
  <dimension ref="A1:R21"/>
  <sheetViews>
    <sheetView rightToLeft="1" tabSelected="1" topLeftCell="A10" workbookViewId="0">
      <selection sqref="A1:O1"/>
    </sheetView>
  </sheetViews>
  <sheetFormatPr defaultColWidth="9.140625" defaultRowHeight="26.25" customHeight="1" x14ac:dyDescent="0.25"/>
  <cols>
    <col min="1" max="1" width="32.140625" bestFit="1" customWidth="1"/>
    <col min="2" max="2" width="7.5703125" bestFit="1" customWidth="1"/>
    <col min="3" max="5" width="6" bestFit="1" customWidth="1"/>
    <col min="6" max="6" width="10.5703125" bestFit="1" customWidth="1"/>
    <col min="7" max="7" width="19.140625" bestFit="1" customWidth="1"/>
    <col min="8" max="10" width="17.5703125" bestFit="1" customWidth="1"/>
    <col min="11" max="11" width="19.140625" bestFit="1" customWidth="1"/>
    <col min="12" max="12" width="17.5703125" bestFit="1" customWidth="1"/>
    <col min="13" max="15" width="15.85546875" bestFit="1" customWidth="1"/>
    <col min="16" max="16" width="17.5703125" bestFit="1" customWidth="1"/>
    <col min="18" max="18" width="10.5703125" bestFit="1" customWidth="1"/>
  </cols>
  <sheetData>
    <row r="1" spans="1:18" ht="21.75" customHeight="1" thickBot="1" x14ac:dyDescent="0.3">
      <c r="A1" s="51" t="s">
        <v>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4"/>
    </row>
    <row r="2" spans="1:18" ht="21.75" thickBot="1" x14ac:dyDescent="0.3">
      <c r="A2" s="57" t="s">
        <v>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9"/>
    </row>
    <row r="3" spans="1:18" ht="38.25" thickBot="1" x14ac:dyDescent="0.3">
      <c r="A3" s="4" t="s">
        <v>0</v>
      </c>
      <c r="B3" s="37" t="s">
        <v>9</v>
      </c>
      <c r="C3" s="38" t="s">
        <v>8</v>
      </c>
      <c r="D3" s="39" t="s">
        <v>7</v>
      </c>
      <c r="E3" s="40" t="s">
        <v>6</v>
      </c>
      <c r="F3" s="34" t="s">
        <v>12</v>
      </c>
      <c r="G3" s="35" t="s">
        <v>5</v>
      </c>
      <c r="H3" s="35" t="s">
        <v>4</v>
      </c>
      <c r="I3" s="35" t="s">
        <v>3</v>
      </c>
      <c r="J3" s="35" t="s">
        <v>2</v>
      </c>
      <c r="K3" s="36" t="s">
        <v>1</v>
      </c>
      <c r="L3" s="35" t="s">
        <v>13</v>
      </c>
      <c r="M3" s="35" t="s">
        <v>14</v>
      </c>
      <c r="N3" s="35" t="s">
        <v>15</v>
      </c>
      <c r="O3" s="35" t="s">
        <v>16</v>
      </c>
      <c r="P3" s="1" t="s">
        <v>29</v>
      </c>
    </row>
    <row r="4" spans="1:18" ht="42.75" thickBot="1" x14ac:dyDescent="0.3">
      <c r="A4" s="4" t="s">
        <v>17</v>
      </c>
      <c r="B4" s="5">
        <v>1093</v>
      </c>
      <c r="C4" s="6">
        <v>366</v>
      </c>
      <c r="D4" s="7">
        <v>155</v>
      </c>
      <c r="E4" s="8">
        <v>95</v>
      </c>
      <c r="F4" s="9">
        <f>B4+C4+D4+E4</f>
        <v>1709</v>
      </c>
      <c r="G4" s="10">
        <f>B4*30000</f>
        <v>32790000</v>
      </c>
      <c r="H4" s="10">
        <f>C4*40000</f>
        <v>14640000</v>
      </c>
      <c r="I4" s="10">
        <f>D4*50000</f>
        <v>7750000</v>
      </c>
      <c r="J4" s="10">
        <f>E4*65000</f>
        <v>6175000</v>
      </c>
      <c r="K4" s="11">
        <f>G4+H4+I4+J4</f>
        <v>61355000</v>
      </c>
      <c r="L4" s="12">
        <f>G4*16%</f>
        <v>5246400</v>
      </c>
      <c r="M4" s="13">
        <f>H4*16%</f>
        <v>2342400</v>
      </c>
      <c r="N4" s="14">
        <f>I4*16%</f>
        <v>1240000</v>
      </c>
      <c r="O4" s="15">
        <f>J4*16%</f>
        <v>988000</v>
      </c>
      <c r="P4" s="2">
        <f t="shared" ref="P4:P15" si="0">K4*16%</f>
        <v>9816800</v>
      </c>
    </row>
    <row r="5" spans="1:18" ht="42.75" thickBot="1" x14ac:dyDescent="0.3">
      <c r="A5" s="4" t="s">
        <v>18</v>
      </c>
      <c r="B5" s="5">
        <v>739</v>
      </c>
      <c r="C5" s="6">
        <v>35</v>
      </c>
      <c r="D5" s="7">
        <v>22</v>
      </c>
      <c r="E5" s="8">
        <v>8</v>
      </c>
      <c r="F5" s="9">
        <f t="shared" ref="F5:F15" si="1">B5+C5+D5+E5</f>
        <v>804</v>
      </c>
      <c r="G5" s="10">
        <f t="shared" ref="G5:G15" si="2">B5*30000</f>
        <v>22170000</v>
      </c>
      <c r="H5" s="10">
        <f t="shared" ref="H5:H15" si="3">C5*40000</f>
        <v>1400000</v>
      </c>
      <c r="I5" s="10">
        <f t="shared" ref="I5:I15" si="4">D5*50000</f>
        <v>1100000</v>
      </c>
      <c r="J5" s="10">
        <f t="shared" ref="J5:J15" si="5">E5*65000</f>
        <v>520000</v>
      </c>
      <c r="K5" s="11">
        <f t="shared" ref="K5:K15" si="6">G5+H5+I5+J5</f>
        <v>25190000</v>
      </c>
      <c r="L5" s="12">
        <f t="shared" ref="L5:O15" si="7">G5*16%</f>
        <v>3547200</v>
      </c>
      <c r="M5" s="13">
        <f t="shared" si="7"/>
        <v>224000</v>
      </c>
      <c r="N5" s="14">
        <f t="shared" si="7"/>
        <v>176000</v>
      </c>
      <c r="O5" s="15">
        <f t="shared" si="7"/>
        <v>83200</v>
      </c>
      <c r="P5" s="2">
        <f t="shared" si="0"/>
        <v>4030400</v>
      </c>
    </row>
    <row r="6" spans="1:18" ht="42.75" thickBot="1" x14ac:dyDescent="0.3">
      <c r="A6" s="4" t="s">
        <v>19</v>
      </c>
      <c r="B6" s="5">
        <v>1609</v>
      </c>
      <c r="C6" s="6">
        <v>75</v>
      </c>
      <c r="D6" s="7">
        <v>30</v>
      </c>
      <c r="E6" s="8">
        <v>9</v>
      </c>
      <c r="F6" s="9">
        <f t="shared" si="1"/>
        <v>1723</v>
      </c>
      <c r="G6" s="10">
        <f t="shared" si="2"/>
        <v>48270000</v>
      </c>
      <c r="H6" s="10">
        <f t="shared" si="3"/>
        <v>3000000</v>
      </c>
      <c r="I6" s="10">
        <f t="shared" si="4"/>
        <v>1500000</v>
      </c>
      <c r="J6" s="10">
        <f t="shared" si="5"/>
        <v>585000</v>
      </c>
      <c r="K6" s="11">
        <f t="shared" si="6"/>
        <v>53355000</v>
      </c>
      <c r="L6" s="12">
        <f t="shared" si="7"/>
        <v>7723200</v>
      </c>
      <c r="M6" s="13">
        <f t="shared" si="7"/>
        <v>480000</v>
      </c>
      <c r="N6" s="14">
        <f t="shared" si="7"/>
        <v>240000</v>
      </c>
      <c r="O6" s="15">
        <f t="shared" si="7"/>
        <v>93600</v>
      </c>
      <c r="P6" s="2">
        <f t="shared" si="0"/>
        <v>8536800</v>
      </c>
    </row>
    <row r="7" spans="1:18" ht="42.75" thickBot="1" x14ac:dyDescent="0.3">
      <c r="A7" s="4" t="s">
        <v>20</v>
      </c>
      <c r="B7" s="5">
        <v>395</v>
      </c>
      <c r="C7" s="6">
        <v>124</v>
      </c>
      <c r="D7" s="7">
        <v>63</v>
      </c>
      <c r="E7" s="8">
        <v>45</v>
      </c>
      <c r="F7" s="9">
        <f t="shared" si="1"/>
        <v>627</v>
      </c>
      <c r="G7" s="10">
        <f t="shared" si="2"/>
        <v>11850000</v>
      </c>
      <c r="H7" s="10">
        <f t="shared" si="3"/>
        <v>4960000</v>
      </c>
      <c r="I7" s="10">
        <f t="shared" si="4"/>
        <v>3150000</v>
      </c>
      <c r="J7" s="10">
        <f t="shared" si="5"/>
        <v>2925000</v>
      </c>
      <c r="K7" s="11">
        <f t="shared" si="6"/>
        <v>22885000</v>
      </c>
      <c r="L7" s="12">
        <f t="shared" si="7"/>
        <v>1896000</v>
      </c>
      <c r="M7" s="13">
        <f t="shared" si="7"/>
        <v>793600</v>
      </c>
      <c r="N7" s="14">
        <f t="shared" si="7"/>
        <v>504000</v>
      </c>
      <c r="O7" s="15">
        <f t="shared" si="7"/>
        <v>468000</v>
      </c>
      <c r="P7" s="2">
        <f t="shared" si="0"/>
        <v>3661600</v>
      </c>
    </row>
    <row r="8" spans="1:18" ht="42.75" thickBot="1" x14ac:dyDescent="0.3">
      <c r="A8" s="4" t="s">
        <v>21</v>
      </c>
      <c r="B8" s="5">
        <v>676</v>
      </c>
      <c r="C8" s="6">
        <v>100</v>
      </c>
      <c r="D8" s="7">
        <v>101</v>
      </c>
      <c r="E8" s="8">
        <v>48</v>
      </c>
      <c r="F8" s="9">
        <f t="shared" si="1"/>
        <v>925</v>
      </c>
      <c r="G8" s="10">
        <f t="shared" si="2"/>
        <v>20280000</v>
      </c>
      <c r="H8" s="10">
        <f t="shared" si="3"/>
        <v>4000000</v>
      </c>
      <c r="I8" s="10">
        <f t="shared" si="4"/>
        <v>5050000</v>
      </c>
      <c r="J8" s="10">
        <f t="shared" si="5"/>
        <v>3120000</v>
      </c>
      <c r="K8" s="11">
        <f t="shared" si="6"/>
        <v>32450000</v>
      </c>
      <c r="L8" s="12">
        <f t="shared" si="7"/>
        <v>3244800</v>
      </c>
      <c r="M8" s="13">
        <f t="shared" si="7"/>
        <v>640000</v>
      </c>
      <c r="N8" s="14">
        <f t="shared" si="7"/>
        <v>808000</v>
      </c>
      <c r="O8" s="15">
        <f t="shared" si="7"/>
        <v>499200</v>
      </c>
      <c r="P8" s="2">
        <f t="shared" si="0"/>
        <v>5192000</v>
      </c>
      <c r="R8" s="3"/>
    </row>
    <row r="9" spans="1:18" ht="42.75" thickBot="1" x14ac:dyDescent="0.3">
      <c r="A9" s="4" t="s">
        <v>22</v>
      </c>
      <c r="B9" s="5">
        <v>639</v>
      </c>
      <c r="C9" s="6">
        <v>79</v>
      </c>
      <c r="D9" s="7">
        <v>52</v>
      </c>
      <c r="E9" s="8">
        <v>41</v>
      </c>
      <c r="F9" s="9">
        <f t="shared" si="1"/>
        <v>811</v>
      </c>
      <c r="G9" s="10">
        <f t="shared" si="2"/>
        <v>19170000</v>
      </c>
      <c r="H9" s="10">
        <f t="shared" si="3"/>
        <v>3160000</v>
      </c>
      <c r="I9" s="10">
        <f t="shared" si="4"/>
        <v>2600000</v>
      </c>
      <c r="J9" s="10">
        <f t="shared" si="5"/>
        <v>2665000</v>
      </c>
      <c r="K9" s="11">
        <f t="shared" si="6"/>
        <v>27595000</v>
      </c>
      <c r="L9" s="12">
        <f t="shared" si="7"/>
        <v>3067200</v>
      </c>
      <c r="M9" s="13">
        <f t="shared" si="7"/>
        <v>505600</v>
      </c>
      <c r="N9" s="14">
        <f t="shared" si="7"/>
        <v>416000</v>
      </c>
      <c r="O9" s="15">
        <f t="shared" si="7"/>
        <v>426400</v>
      </c>
      <c r="P9" s="2">
        <f t="shared" si="0"/>
        <v>4415200</v>
      </c>
    </row>
    <row r="10" spans="1:18" ht="63.75" thickBot="1" x14ac:dyDescent="0.3">
      <c r="A10" s="4" t="s">
        <v>23</v>
      </c>
      <c r="B10" s="5">
        <v>350</v>
      </c>
      <c r="C10" s="6">
        <v>9</v>
      </c>
      <c r="D10" s="7">
        <v>2</v>
      </c>
      <c r="E10" s="8">
        <v>1</v>
      </c>
      <c r="F10" s="9">
        <f t="shared" si="1"/>
        <v>362</v>
      </c>
      <c r="G10" s="10">
        <f t="shared" si="2"/>
        <v>10500000</v>
      </c>
      <c r="H10" s="10">
        <f t="shared" si="3"/>
        <v>360000</v>
      </c>
      <c r="I10" s="10">
        <f t="shared" si="4"/>
        <v>100000</v>
      </c>
      <c r="J10" s="10">
        <f t="shared" si="5"/>
        <v>65000</v>
      </c>
      <c r="K10" s="11">
        <f t="shared" si="6"/>
        <v>11025000</v>
      </c>
      <c r="L10" s="12">
        <f t="shared" si="7"/>
        <v>1680000</v>
      </c>
      <c r="M10" s="13">
        <f t="shared" si="7"/>
        <v>57600</v>
      </c>
      <c r="N10" s="14">
        <f t="shared" si="7"/>
        <v>16000</v>
      </c>
      <c r="O10" s="15">
        <f t="shared" si="7"/>
        <v>10400</v>
      </c>
      <c r="P10" s="2">
        <f t="shared" si="0"/>
        <v>1764000</v>
      </c>
    </row>
    <row r="11" spans="1:18" ht="63.75" thickBot="1" x14ac:dyDescent="0.3">
      <c r="A11" s="4" t="s">
        <v>24</v>
      </c>
      <c r="B11" s="5">
        <v>197</v>
      </c>
      <c r="C11" s="6">
        <v>1</v>
      </c>
      <c r="D11" s="7">
        <v>0</v>
      </c>
      <c r="E11" s="8">
        <v>1</v>
      </c>
      <c r="F11" s="9">
        <f t="shared" si="1"/>
        <v>199</v>
      </c>
      <c r="G11" s="10">
        <f t="shared" si="2"/>
        <v>5910000</v>
      </c>
      <c r="H11" s="10">
        <f t="shared" si="3"/>
        <v>40000</v>
      </c>
      <c r="I11" s="10">
        <f t="shared" si="4"/>
        <v>0</v>
      </c>
      <c r="J11" s="10">
        <f t="shared" si="5"/>
        <v>65000</v>
      </c>
      <c r="K11" s="11">
        <f t="shared" si="6"/>
        <v>6015000</v>
      </c>
      <c r="L11" s="12">
        <f t="shared" si="7"/>
        <v>945600</v>
      </c>
      <c r="M11" s="13">
        <f t="shared" si="7"/>
        <v>6400</v>
      </c>
      <c r="N11" s="14">
        <f t="shared" si="7"/>
        <v>0</v>
      </c>
      <c r="O11" s="15">
        <f t="shared" si="7"/>
        <v>10400</v>
      </c>
      <c r="P11" s="2">
        <f t="shared" si="0"/>
        <v>962400</v>
      </c>
    </row>
    <row r="12" spans="1:18" ht="42.75" thickBot="1" x14ac:dyDescent="0.3">
      <c r="A12" s="4" t="s">
        <v>25</v>
      </c>
      <c r="B12" s="5">
        <v>115</v>
      </c>
      <c r="C12" s="6">
        <v>6</v>
      </c>
      <c r="D12" s="7">
        <v>3</v>
      </c>
      <c r="E12" s="8">
        <v>1</v>
      </c>
      <c r="F12" s="9">
        <f t="shared" si="1"/>
        <v>125</v>
      </c>
      <c r="G12" s="10">
        <f t="shared" si="2"/>
        <v>3450000</v>
      </c>
      <c r="H12" s="10">
        <f t="shared" si="3"/>
        <v>240000</v>
      </c>
      <c r="I12" s="10">
        <f t="shared" si="4"/>
        <v>150000</v>
      </c>
      <c r="J12" s="10">
        <f t="shared" si="5"/>
        <v>65000</v>
      </c>
      <c r="K12" s="11">
        <f t="shared" si="6"/>
        <v>3905000</v>
      </c>
      <c r="L12" s="12">
        <f t="shared" si="7"/>
        <v>552000</v>
      </c>
      <c r="M12" s="13">
        <f t="shared" si="7"/>
        <v>38400</v>
      </c>
      <c r="N12" s="14">
        <f t="shared" si="7"/>
        <v>24000</v>
      </c>
      <c r="O12" s="15">
        <f t="shared" si="7"/>
        <v>10400</v>
      </c>
      <c r="P12" s="2">
        <f t="shared" si="0"/>
        <v>624800</v>
      </c>
    </row>
    <row r="13" spans="1:18" ht="42.75" thickBot="1" x14ac:dyDescent="0.3">
      <c r="A13" s="4" t="s">
        <v>26</v>
      </c>
      <c r="B13" s="5">
        <v>322</v>
      </c>
      <c r="C13" s="6">
        <v>1</v>
      </c>
      <c r="D13" s="7">
        <v>0</v>
      </c>
      <c r="E13" s="8">
        <v>0</v>
      </c>
      <c r="F13" s="9">
        <f t="shared" si="1"/>
        <v>323</v>
      </c>
      <c r="G13" s="10">
        <f t="shared" si="2"/>
        <v>9660000</v>
      </c>
      <c r="H13" s="10">
        <f t="shared" si="3"/>
        <v>40000</v>
      </c>
      <c r="I13" s="10">
        <f t="shared" si="4"/>
        <v>0</v>
      </c>
      <c r="J13" s="10">
        <f t="shared" si="5"/>
        <v>0</v>
      </c>
      <c r="K13" s="11">
        <f t="shared" si="6"/>
        <v>9700000</v>
      </c>
      <c r="L13" s="12">
        <f t="shared" si="7"/>
        <v>1545600</v>
      </c>
      <c r="M13" s="13">
        <f t="shared" si="7"/>
        <v>6400</v>
      </c>
      <c r="N13" s="14">
        <f t="shared" si="7"/>
        <v>0</v>
      </c>
      <c r="O13" s="15">
        <f t="shared" si="7"/>
        <v>0</v>
      </c>
      <c r="P13" s="2">
        <f t="shared" si="0"/>
        <v>1552000</v>
      </c>
    </row>
    <row r="14" spans="1:18" ht="42.75" thickBot="1" x14ac:dyDescent="0.3">
      <c r="A14" s="4" t="s">
        <v>27</v>
      </c>
      <c r="B14" s="5">
        <v>208</v>
      </c>
      <c r="C14" s="6">
        <v>50</v>
      </c>
      <c r="D14" s="7">
        <v>7</v>
      </c>
      <c r="E14" s="8">
        <v>7</v>
      </c>
      <c r="F14" s="9">
        <f t="shared" si="1"/>
        <v>272</v>
      </c>
      <c r="G14" s="10">
        <f t="shared" si="2"/>
        <v>6240000</v>
      </c>
      <c r="H14" s="10">
        <f t="shared" si="3"/>
        <v>2000000</v>
      </c>
      <c r="I14" s="10">
        <f t="shared" si="4"/>
        <v>350000</v>
      </c>
      <c r="J14" s="10">
        <f t="shared" si="5"/>
        <v>455000</v>
      </c>
      <c r="K14" s="11">
        <f t="shared" si="6"/>
        <v>9045000</v>
      </c>
      <c r="L14" s="12">
        <f t="shared" si="7"/>
        <v>998400</v>
      </c>
      <c r="M14" s="13">
        <f t="shared" si="7"/>
        <v>320000</v>
      </c>
      <c r="N14" s="14">
        <f t="shared" si="7"/>
        <v>56000</v>
      </c>
      <c r="O14" s="15">
        <f t="shared" si="7"/>
        <v>72800</v>
      </c>
      <c r="P14" s="2">
        <f t="shared" si="0"/>
        <v>1447200</v>
      </c>
      <c r="R14" s="3"/>
    </row>
    <row r="15" spans="1:18" ht="42.75" thickBot="1" x14ac:dyDescent="0.3">
      <c r="A15" s="4" t="s">
        <v>28</v>
      </c>
      <c r="B15" s="5">
        <v>891</v>
      </c>
      <c r="C15" s="6">
        <v>42</v>
      </c>
      <c r="D15" s="7">
        <v>47</v>
      </c>
      <c r="E15" s="8">
        <v>14</v>
      </c>
      <c r="F15" s="9">
        <f t="shared" si="1"/>
        <v>994</v>
      </c>
      <c r="G15" s="10">
        <f t="shared" si="2"/>
        <v>26730000</v>
      </c>
      <c r="H15" s="10">
        <f t="shared" si="3"/>
        <v>1680000</v>
      </c>
      <c r="I15" s="10">
        <f t="shared" si="4"/>
        <v>2350000</v>
      </c>
      <c r="J15" s="10">
        <f t="shared" si="5"/>
        <v>910000</v>
      </c>
      <c r="K15" s="11">
        <f t="shared" si="6"/>
        <v>31670000</v>
      </c>
      <c r="L15" s="12">
        <f t="shared" si="7"/>
        <v>4276800</v>
      </c>
      <c r="M15" s="13">
        <f t="shared" si="7"/>
        <v>268800</v>
      </c>
      <c r="N15" s="14">
        <f t="shared" si="7"/>
        <v>376000</v>
      </c>
      <c r="O15" s="15">
        <f t="shared" si="7"/>
        <v>145600</v>
      </c>
      <c r="P15" s="2">
        <f t="shared" si="0"/>
        <v>5067200</v>
      </c>
    </row>
    <row r="16" spans="1:18" ht="26.25" customHeight="1" x14ac:dyDescent="0.25">
      <c r="A16" s="60" t="s">
        <v>10</v>
      </c>
      <c r="B16" s="54">
        <f t="shared" ref="B16:P16" si="8">SUM(B4:B15)</f>
        <v>7234</v>
      </c>
      <c r="C16" s="54">
        <f t="shared" si="8"/>
        <v>888</v>
      </c>
      <c r="D16" s="54">
        <f t="shared" si="8"/>
        <v>482</v>
      </c>
      <c r="E16" s="54">
        <f t="shared" si="8"/>
        <v>270</v>
      </c>
      <c r="F16" s="54">
        <f t="shared" si="8"/>
        <v>8874</v>
      </c>
      <c r="G16" s="55">
        <f t="shared" si="8"/>
        <v>217020000</v>
      </c>
      <c r="H16" s="55">
        <f t="shared" si="8"/>
        <v>35520000</v>
      </c>
      <c r="I16" s="55">
        <f t="shared" si="8"/>
        <v>24100000</v>
      </c>
      <c r="J16" s="55">
        <f t="shared" si="8"/>
        <v>17550000</v>
      </c>
      <c r="K16" s="55">
        <f t="shared" si="8"/>
        <v>294190000</v>
      </c>
      <c r="L16" s="55">
        <f t="shared" si="8"/>
        <v>34723200</v>
      </c>
      <c r="M16" s="55">
        <f t="shared" si="8"/>
        <v>5683200</v>
      </c>
      <c r="N16" s="55">
        <f t="shared" si="8"/>
        <v>3856000</v>
      </c>
      <c r="O16" s="55">
        <f t="shared" si="8"/>
        <v>2808000</v>
      </c>
      <c r="P16" s="56">
        <f t="shared" si="8"/>
        <v>47070400</v>
      </c>
    </row>
    <row r="17" spans="1:16" ht="26.25" customHeight="1" thickBot="1" x14ac:dyDescent="0.3">
      <c r="A17" s="61"/>
      <c r="B17" s="54"/>
      <c r="C17" s="54"/>
      <c r="D17" s="54"/>
      <c r="E17" s="54"/>
      <c r="F17" s="54"/>
      <c r="G17" s="55"/>
      <c r="H17" s="55"/>
      <c r="I17" s="55"/>
      <c r="J17" s="55"/>
      <c r="K17" s="55"/>
      <c r="L17" s="55"/>
      <c r="M17" s="55"/>
      <c r="N17" s="55"/>
      <c r="O17" s="55"/>
      <c r="P17" s="56"/>
    </row>
    <row r="18" spans="1:16" ht="15" x14ac:dyDescent="0.25"/>
    <row r="20" spans="1:16" ht="45.75" customHeight="1" x14ac:dyDescent="0.25"/>
    <row r="21" spans="1:16" ht="45.75" customHeight="1" x14ac:dyDescent="0.25"/>
  </sheetData>
  <mergeCells count="18">
    <mergeCell ref="P16:P17"/>
    <mergeCell ref="A1:O1"/>
    <mergeCell ref="G16:G17"/>
    <mergeCell ref="H16:H17"/>
    <mergeCell ref="I16:I17"/>
    <mergeCell ref="J16:J17"/>
    <mergeCell ref="K16:K17"/>
    <mergeCell ref="L16:L17"/>
    <mergeCell ref="A2:P2"/>
    <mergeCell ref="A16:A17"/>
    <mergeCell ref="B16:B17"/>
    <mergeCell ref="C16:C17"/>
    <mergeCell ref="D16:D17"/>
    <mergeCell ref="E16:E17"/>
    <mergeCell ref="F16:F17"/>
    <mergeCell ref="M16:M17"/>
    <mergeCell ref="N16:N17"/>
    <mergeCell ref="O16:O17"/>
  </mergeCells>
  <hyperlinks>
    <hyperlink ref="A14" r:id="rId1" xr:uid="{D34FC116-EA89-4CDA-892B-75980463598B}"/>
  </hyperlinks>
  <pageMargins left="0.7" right="0.7" top="0.75" bottom="0.75" header="0.3" footer="0.3"/>
  <pageSetup scale="50" fitToHeight="0" orientation="landscape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 1+م ق</vt:lpstr>
      <vt:lpstr>م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2025-11-10T07:12:22Z</dcterms:created>
  <dcterms:modified xsi:type="dcterms:W3CDTF">2025-11-12T08:17:30Z</dcterms:modified>
  <cp:category/>
</cp:coreProperties>
</file>